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nalytique" sheetId="1" r:id="rId4"/>
  </sheets>
  <definedNames/>
  <calcPr/>
  <extLst>
    <ext uri="GoogleSheetsCustomDataVersion2">
      <go:sheetsCustomData xmlns:go="http://customooxmlschemas.google.com/" r:id="rId5" roundtripDataChecksum="mfWDaxeyToItpqGfk1u9TNai3ZBqMiSqKKCPbHhwcHg="/>
    </ext>
  </extLst>
</workbook>
</file>

<file path=xl/sharedStrings.xml><?xml version="1.0" encoding="utf-8"?>
<sst xmlns="http://schemas.openxmlformats.org/spreadsheetml/2006/main" count="40" uniqueCount="40">
  <si>
    <r>
      <rPr>
        <rFont val="Calibri"/>
        <color theme="1"/>
        <sz val="36.0"/>
      </rPr>
      <t>Outil d'</t>
    </r>
    <r>
      <rPr>
        <rFont val="Calibri"/>
        <b/>
        <color rgb="FFFF0000"/>
        <sz val="36.0"/>
      </rPr>
      <t>autocorrection</t>
    </r>
    <r>
      <rPr>
        <rFont val="Calibri"/>
        <color theme="1"/>
        <sz val="36.0"/>
      </rPr>
      <t xml:space="preserve"> de table analytique</t>
    </r>
  </si>
  <si>
    <t>Ingrédients</t>
  </si>
  <si>
    <t>Quantité en grammes</t>
  </si>
  <si>
    <t>Eau</t>
  </si>
  <si>
    <t>Extrait sec total</t>
  </si>
  <si>
    <t>Cacao sec dégraissé</t>
  </si>
  <si>
    <t>Beurre de cacao</t>
  </si>
  <si>
    <t>MG laitière</t>
  </si>
  <si>
    <t>MG totale</t>
  </si>
  <si>
    <t>Matières sucrantes</t>
  </si>
  <si>
    <t>Pouvoir sucrant</t>
  </si>
  <si>
    <t>Cet outil est conçu pour vous AUTOCORRIGER et PROGRESSER.</t>
  </si>
  <si>
    <t>Crème 35%</t>
  </si>
  <si>
    <t>Entrez votre recette et les pourcentages correspondant à chaque matières premières dans les cases bleu ciel.</t>
  </si>
  <si>
    <t>Sorbitol</t>
  </si>
  <si>
    <t>Le calcul se fait automatiquement.</t>
  </si>
  <si>
    <t>Si les résultats correspondent à ceux souhaités, la case deviendra VERTE, dans le cas contraire elle sera ROUGE.</t>
  </si>
  <si>
    <t>BEURRE LAITIER</t>
  </si>
  <si>
    <t>Contrôlez vos résultats pour détecter vos erreurs éventuelles.</t>
  </si>
  <si>
    <t>glucose DE40</t>
  </si>
  <si>
    <t>Effectuez votre analyse en 3 parties : votre interprétation (résultats cohérents ou non), quel risques pour la recette dans l'état actuel, quel(s) correction apportées et pourquoi.</t>
  </si>
  <si>
    <t>sucre inverti</t>
  </si>
  <si>
    <t>pate de cacao</t>
  </si>
  <si>
    <t>couverture lait 38%</t>
  </si>
  <si>
    <t>beurre de cacao</t>
  </si>
  <si>
    <t>Total en grammes</t>
  </si>
  <si>
    <t>Total en pourcentage</t>
  </si>
  <si>
    <t>% conseillés</t>
  </si>
  <si>
    <t>25%MAX</t>
  </si>
  <si>
    <t>75%MIN</t>
  </si>
  <si>
    <t>-</t>
  </si>
  <si>
    <t>18% MIN</t>
  </si>
  <si>
    <t>25-40%</t>
  </si>
  <si>
    <t>25-35%</t>
  </si>
  <si>
    <t>25-35</t>
  </si>
  <si>
    <t>praliné</t>
  </si>
  <si>
    <t>9 MIN CADRE</t>
  </si>
  <si>
    <t>20 MIN</t>
  </si>
  <si>
    <t>32 MIN</t>
  </si>
  <si>
    <t>40-50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</si>
</sst>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36.0"/>
      <color theme="1"/>
      <name val="Calibri"/>
    </font>
    <font/>
    <font>
      <b/>
      <sz val="10.0"/>
      <color theme="1"/>
      <name val="Verdana"/>
    </font>
    <font>
      <sz val="11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b/>
      <i/>
      <sz val="16.0"/>
      <color rgb="FF00B050"/>
      <name val="Calibri"/>
    </font>
    <font>
      <b/>
      <sz val="26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E599"/>
        <bgColor rgb="FFFFE599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23">
    <border/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7" fillId="0" fontId="2" numFmtId="0" xfId="0" applyBorder="1" applyFont="1"/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2" fontId="7" numFmtId="2" xfId="0" applyAlignment="1" applyBorder="1" applyFont="1" applyNumberFormat="1">
      <alignment horizontal="center" readingOrder="0" shrinkToFit="0" vertical="center" wrapText="1"/>
    </xf>
    <xf borderId="10" fillId="2" fontId="7" numFmtId="2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2" fillId="0" fontId="4" numFmtId="0" xfId="0" applyBorder="1" applyFont="1"/>
    <xf borderId="13" fillId="0" fontId="2" numFmtId="0" xfId="0" applyBorder="1" applyFont="1"/>
    <xf borderId="10" fillId="5" fontId="8" numFmtId="2" xfId="0" applyAlignment="1" applyBorder="1" applyFill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4" fillId="2" fontId="4" numFmtId="0" xfId="0" applyBorder="1" applyFont="1"/>
    <xf borderId="9" fillId="6" fontId="5" numFmtId="0" xfId="0" applyAlignment="1" applyBorder="1" applyFill="1" applyFont="1">
      <alignment readingOrder="0" shrinkToFit="0" vertical="center" wrapText="1"/>
    </xf>
    <xf borderId="9" fillId="6" fontId="6" numFmtId="0" xfId="0" applyAlignment="1" applyBorder="1" applyFont="1">
      <alignment horizontal="center" readingOrder="0" shrinkToFit="0" vertical="center" wrapText="1"/>
    </xf>
    <xf borderId="10" fillId="6" fontId="8" numFmtId="2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9" fillId="4" fontId="5" numFmtId="9" xfId="0" applyAlignment="1" applyBorder="1" applyFont="1" applyNumberFormat="1">
      <alignment readingOrder="0" shrinkToFit="0" vertical="center" wrapText="1"/>
    </xf>
    <xf borderId="15" fillId="7" fontId="4" numFmtId="0" xfId="0" applyBorder="1" applyFill="1" applyFont="1"/>
    <xf borderId="16" fillId="8" fontId="4" numFmtId="0" xfId="0" applyBorder="1" applyFill="1" applyFont="1"/>
    <xf borderId="9" fillId="6" fontId="5" numFmtId="9" xfId="0" applyAlignment="1" applyBorder="1" applyFont="1" applyNumberFormat="1">
      <alignment shrinkToFit="0" vertical="center" wrapText="1"/>
    </xf>
    <xf borderId="9" fillId="4" fontId="5" numFmtId="0" xfId="0" applyAlignment="1" applyBorder="1" applyFont="1">
      <alignment readingOrder="0" shrinkToFit="0" vertical="center" wrapText="1"/>
    </xf>
    <xf borderId="11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8" fillId="0" fontId="4" numFmtId="0" xfId="0" applyBorder="1" applyFont="1"/>
    <xf borderId="19" fillId="0" fontId="4" numFmtId="0" xfId="0" applyBorder="1" applyFont="1"/>
    <xf borderId="15" fillId="9" fontId="4" numFmtId="0" xfId="0" applyBorder="1" applyFill="1" applyFont="1"/>
    <xf borderId="15" fillId="9" fontId="3" numFmtId="0" xfId="0" applyAlignment="1" applyBorder="1" applyFont="1">
      <alignment horizontal="center" shrinkToFit="0" vertical="center" wrapText="1"/>
    </xf>
    <xf borderId="20" fillId="10" fontId="9" numFmtId="0" xfId="0" applyAlignment="1" applyBorder="1" applyFill="1" applyFont="1">
      <alignment horizontal="center" shrinkToFit="0" vertical="center" wrapText="1"/>
    </xf>
    <xf borderId="10" fillId="10" fontId="6" numFmtId="0" xfId="0" applyAlignment="1" applyBorder="1" applyFont="1">
      <alignment horizontal="center" shrinkToFit="0" vertical="center" wrapText="1"/>
    </xf>
    <xf borderId="10" fillId="10" fontId="6" numFmtId="2" xfId="0" applyAlignment="1" applyBorder="1" applyFont="1" applyNumberFormat="1">
      <alignment horizontal="center" shrinkToFit="0" vertical="center" wrapText="1"/>
    </xf>
    <xf borderId="15" fillId="9" fontId="10" numFmtId="0" xfId="0" applyAlignment="1" applyBorder="1" applyFont="1">
      <alignment horizontal="center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0" fillId="4" fontId="6" numFmtId="2" xfId="0" applyAlignment="1" applyBorder="1" applyFont="1" applyNumberFormat="1">
      <alignment horizontal="center" shrinkToFit="0" vertical="center" wrapText="1"/>
    </xf>
    <xf borderId="21" fillId="10" fontId="11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10" fillId="11" fontId="10" numFmtId="0" xfId="0" applyAlignment="1" applyBorder="1" applyFill="1" applyFont="1">
      <alignment horizontal="center" shrinkToFit="0" vertical="center" wrapText="1"/>
    </xf>
    <xf borderId="10" fillId="12" fontId="10" numFmtId="0" xfId="0" applyAlignment="1" applyBorder="1" applyFill="1" applyFont="1">
      <alignment horizontal="center" shrinkToFit="0" vertical="center" wrapText="1"/>
    </xf>
    <xf borderId="15" fillId="12" fontId="4" numFmtId="0" xfId="0" applyBorder="1" applyFont="1"/>
    <xf borderId="0" fillId="0" fontId="12" numFmtId="0" xfId="0" applyFont="1"/>
    <xf borderId="0" fillId="0" fontId="4" numFmtId="2" xfId="0" applyFont="1" applyNumberFormat="1"/>
  </cellXfs>
  <cellStyles count="1">
    <cellStyle xfId="0" name="Normal" builtinId="0"/>
  </cellStyles>
  <dxfs count="3">
    <dxf>
      <font/>
      <fill>
        <patternFill patternType="solid">
          <fgColor theme="1"/>
          <bgColor theme="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1095375</xdr:colOff>
      <xdr:row>2</xdr:row>
      <xdr:rowOff>57150</xdr:rowOff>
    </xdr:from>
    <xdr:ext cx="5257800" cy="190500"/>
    <xdr:grpSp>
      <xdr:nvGrpSpPr>
        <xdr:cNvPr id="2" name="Shape 2"/>
        <xdr:cNvGrpSpPr/>
      </xdr:nvGrpSpPr>
      <xdr:grpSpPr>
        <a:xfrm>
          <a:off x="2745675" y="3708563"/>
          <a:ext cx="5200650" cy="142875"/>
          <a:chOff x="2745675" y="3708563"/>
          <a:chExt cx="5200650" cy="142875"/>
        </a:xfrm>
      </xdr:grpSpPr>
      <xdr:cxnSp>
        <xdr:nvCxnSpPr>
          <xdr:cNvPr id="3" name="Shape 3"/>
          <xdr:cNvCxnSpPr/>
        </xdr:nvCxnSpPr>
        <xdr:spPr>
          <a:xfrm rot="10800000">
            <a:off x="2745675" y="3708563"/>
            <a:ext cx="5200650" cy="142875"/>
          </a:xfrm>
          <a:prstGeom prst="straightConnector1">
            <a:avLst/>
          </a:prstGeom>
          <a:noFill/>
          <a:ln cap="flat" cmpd="sng" w="571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6.14"/>
    <col customWidth="1" min="3" max="3" width="18.0"/>
    <col customWidth="1" min="4" max="4" width="17.0"/>
    <col customWidth="1" min="5" max="6" width="17.14"/>
    <col customWidth="1" min="7" max="8" width="17.0"/>
    <col customWidth="1" min="9" max="9" width="16.14"/>
    <col customWidth="1" min="10" max="10" width="16.86"/>
    <col customWidth="1" min="11" max="26" width="10.71"/>
  </cols>
  <sheetData>
    <row r="1" ht="5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7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/>
      <c r="L2" s="7" t="s">
        <v>11</v>
      </c>
      <c r="M2" s="8"/>
      <c r="N2" s="8"/>
      <c r="O2" s="8"/>
      <c r="P2" s="8"/>
      <c r="Q2" s="8"/>
      <c r="R2" s="9"/>
      <c r="S2" s="10"/>
    </row>
    <row r="3" ht="15.0" customHeight="1">
      <c r="A3" s="11" t="s">
        <v>12</v>
      </c>
      <c r="B3" s="12">
        <v>1000.0</v>
      </c>
      <c r="C3" s="13">
        <v>59.0</v>
      </c>
      <c r="D3" s="14"/>
      <c r="E3" s="14"/>
      <c r="F3" s="14"/>
      <c r="G3" s="14"/>
      <c r="H3" s="14"/>
      <c r="I3" s="14"/>
      <c r="J3" s="14"/>
      <c r="L3" s="15"/>
      <c r="M3" s="16"/>
      <c r="N3" s="16"/>
      <c r="O3" s="16"/>
      <c r="P3" s="16"/>
      <c r="Q3" s="16"/>
      <c r="S3" s="17"/>
    </row>
    <row r="4" ht="14.25" customHeight="1">
      <c r="A4" s="18"/>
      <c r="B4" s="18"/>
      <c r="C4" s="19">
        <f>SUM(B3*C3/100)</f>
        <v>590</v>
      </c>
      <c r="D4" s="19">
        <f>SUM(B3*D3/100)</f>
        <v>0</v>
      </c>
      <c r="E4" s="19">
        <f>SUM(B3*E3/100)</f>
        <v>0</v>
      </c>
      <c r="F4" s="19">
        <f>SUM(B3*F3/100)</f>
        <v>0</v>
      </c>
      <c r="G4" s="19">
        <f>SUM(B3*G3/100)</f>
        <v>0</v>
      </c>
      <c r="H4" s="19">
        <f>SUM(B3*H3/100)</f>
        <v>0</v>
      </c>
      <c r="I4" s="19">
        <f>SUM(B3*I3/100)</f>
        <v>0</v>
      </c>
      <c r="J4" s="19">
        <f>SUM(I4*J3)</f>
        <v>0</v>
      </c>
      <c r="L4" s="20" t="s">
        <v>13</v>
      </c>
      <c r="R4" s="21"/>
      <c r="S4" s="17"/>
    </row>
    <row r="5" ht="15.75" customHeight="1">
      <c r="A5" s="22" t="s">
        <v>14</v>
      </c>
      <c r="B5" s="23">
        <v>50.0</v>
      </c>
      <c r="C5" s="13">
        <v>0.0</v>
      </c>
      <c r="D5" s="13">
        <v>100.0</v>
      </c>
      <c r="E5" s="14"/>
      <c r="F5" s="14"/>
      <c r="G5" s="14"/>
      <c r="H5" s="14"/>
      <c r="I5" s="13">
        <v>100.0</v>
      </c>
      <c r="J5" s="13">
        <v>0.55</v>
      </c>
      <c r="L5" s="15"/>
      <c r="M5" s="16"/>
      <c r="N5" s="16"/>
      <c r="O5" s="16"/>
      <c r="P5" s="16"/>
      <c r="Q5" s="16"/>
      <c r="S5" s="17"/>
    </row>
    <row r="6" ht="14.25" customHeight="1">
      <c r="A6" s="18"/>
      <c r="B6" s="18"/>
      <c r="C6" s="24">
        <f>SUM(B5*C5/100)</f>
        <v>0</v>
      </c>
      <c r="D6" s="24">
        <f>SUM(B5*D5/100)</f>
        <v>50</v>
      </c>
      <c r="E6" s="24">
        <f>SUM(B5*E5/100)</f>
        <v>0</v>
      </c>
      <c r="F6" s="24">
        <f>SUM(B5*F5/100)</f>
        <v>0</v>
      </c>
      <c r="G6" s="24">
        <f>SUM(B5*G5/100)</f>
        <v>0</v>
      </c>
      <c r="H6" s="25">
        <f>SUM(B5*H5/100)</f>
        <v>0</v>
      </c>
      <c r="I6" s="24">
        <f>SUM(B5*I5/100)</f>
        <v>50</v>
      </c>
      <c r="J6" s="25">
        <f>SUM(I6*J5)</f>
        <v>27.5</v>
      </c>
      <c r="L6" s="15" t="s">
        <v>15</v>
      </c>
      <c r="S6" s="17"/>
    </row>
    <row r="7" ht="15.75" customHeight="1">
      <c r="A7" s="26">
        <v>0.67</v>
      </c>
      <c r="B7" s="12">
        <v>4500.0</v>
      </c>
      <c r="C7" s="14"/>
      <c r="D7" s="14">
        <v>100.0</v>
      </c>
      <c r="E7" s="13">
        <v>42.0</v>
      </c>
      <c r="F7" s="13">
        <v>13.0</v>
      </c>
      <c r="G7" s="14"/>
      <c r="H7" s="13">
        <v>13.0</v>
      </c>
      <c r="I7" s="13">
        <v>32.0</v>
      </c>
      <c r="J7" s="14">
        <v>1.0</v>
      </c>
      <c r="L7" s="15"/>
      <c r="M7" s="16"/>
      <c r="N7" s="16"/>
      <c r="O7" s="16"/>
      <c r="P7" s="16"/>
      <c r="Q7" s="16"/>
      <c r="S7" s="17"/>
    </row>
    <row r="8" ht="14.25" customHeight="1">
      <c r="A8" s="18"/>
      <c r="B8" s="18"/>
      <c r="C8" s="19">
        <f>SUM(B7*C7/100)</f>
        <v>0</v>
      </c>
      <c r="D8" s="19">
        <f>SUM(B7*D7/100)</f>
        <v>4500</v>
      </c>
      <c r="E8" s="19">
        <f>SUM(B7*E7/100)</f>
        <v>1890</v>
      </c>
      <c r="F8" s="19">
        <f>SUM(B7*F7/100)</f>
        <v>585</v>
      </c>
      <c r="G8" s="19">
        <f>SUM(B7*G7/100)</f>
        <v>0</v>
      </c>
      <c r="H8" s="19">
        <f>SUM(B7*H7/100)</f>
        <v>585</v>
      </c>
      <c r="I8" s="19">
        <f>SUM(B7*I7/100)</f>
        <v>1440</v>
      </c>
      <c r="J8" s="19">
        <f>SUM(I8*J7)</f>
        <v>1440</v>
      </c>
      <c r="L8" s="20" t="s">
        <v>16</v>
      </c>
      <c r="R8" s="27"/>
      <c r="S8" s="28"/>
    </row>
    <row r="9" ht="15.75" customHeight="1">
      <c r="A9" s="29" t="s">
        <v>17</v>
      </c>
      <c r="B9" s="23">
        <v>600.0</v>
      </c>
      <c r="C9" s="14">
        <v>16.0</v>
      </c>
      <c r="D9" s="14">
        <v>84.0</v>
      </c>
      <c r="E9" s="14"/>
      <c r="F9" s="14"/>
      <c r="G9" s="14">
        <v>82.0</v>
      </c>
      <c r="H9" s="14">
        <v>82.0</v>
      </c>
      <c r="I9" s="14">
        <v>1.0</v>
      </c>
      <c r="J9" s="14">
        <v>0.16</v>
      </c>
      <c r="L9" s="15"/>
      <c r="M9" s="16"/>
      <c r="N9" s="16"/>
      <c r="O9" s="16"/>
      <c r="P9" s="16"/>
      <c r="Q9" s="16"/>
      <c r="S9" s="17"/>
    </row>
    <row r="10" ht="14.25" customHeight="1">
      <c r="A10" s="18"/>
      <c r="B10" s="18"/>
      <c r="C10" s="24">
        <f>SUM(B9*C9/100)</f>
        <v>96</v>
      </c>
      <c r="D10" s="24">
        <f>SUM(B9*D9/100)</f>
        <v>504</v>
      </c>
      <c r="E10" s="24">
        <f>SUM(B9*E9/100)</f>
        <v>0</v>
      </c>
      <c r="F10" s="24">
        <f>SUM(B9*F9/100)</f>
        <v>0</v>
      </c>
      <c r="G10" s="24">
        <f>SUM(B9*G9/100)</f>
        <v>492</v>
      </c>
      <c r="H10" s="24">
        <f>SUM(B9*H9/100)</f>
        <v>492</v>
      </c>
      <c r="I10" s="24">
        <f>SUM(B9*I9/100)</f>
        <v>6</v>
      </c>
      <c r="J10" s="24">
        <f>SUM(I10*J9)</f>
        <v>0.96</v>
      </c>
      <c r="L10" s="15" t="s">
        <v>18</v>
      </c>
      <c r="S10" s="17"/>
    </row>
    <row r="11" ht="15.75" customHeight="1">
      <c r="A11" s="30" t="s">
        <v>19</v>
      </c>
      <c r="B11" s="12">
        <v>250.0</v>
      </c>
      <c r="C11" s="13">
        <v>30.0</v>
      </c>
      <c r="D11" s="13">
        <v>70.0</v>
      </c>
      <c r="E11" s="14"/>
      <c r="F11" s="14"/>
      <c r="G11" s="14"/>
      <c r="H11" s="14"/>
      <c r="I11" s="13">
        <v>70.0</v>
      </c>
      <c r="J11" s="13">
        <v>0.45</v>
      </c>
      <c r="L11" s="15"/>
      <c r="M11" s="16"/>
      <c r="N11" s="16"/>
      <c r="O11" s="16"/>
      <c r="P11" s="16"/>
      <c r="Q11" s="16"/>
      <c r="S11" s="17"/>
    </row>
    <row r="12" ht="33.75" customHeight="1">
      <c r="A12" s="18"/>
      <c r="B12" s="18"/>
      <c r="C12" s="19">
        <f>SUM(B11*C11/100)</f>
        <v>75</v>
      </c>
      <c r="D12" s="19">
        <f>SUM(B11*D11/100)</f>
        <v>175</v>
      </c>
      <c r="E12" s="19">
        <f>SUM(B11*E11/100)</f>
        <v>0</v>
      </c>
      <c r="F12" s="19">
        <f>SUM(B11*F11/100)</f>
        <v>0</v>
      </c>
      <c r="G12" s="19">
        <f>SUM(B11*G11/100)</f>
        <v>0</v>
      </c>
      <c r="H12" s="19">
        <f>SUM(B11*H11/100)</f>
        <v>0</v>
      </c>
      <c r="I12" s="19">
        <f>SUM(B11*I11/100)</f>
        <v>175</v>
      </c>
      <c r="J12" s="19">
        <f>SUM(I12*J11)</f>
        <v>78.75</v>
      </c>
      <c r="L12" s="20" t="s">
        <v>20</v>
      </c>
      <c r="S12" s="17"/>
    </row>
    <row r="13" ht="15.75" customHeight="1">
      <c r="A13" s="22" t="s">
        <v>21</v>
      </c>
      <c r="B13" s="23">
        <v>1000.0</v>
      </c>
      <c r="C13" s="13">
        <v>22.0</v>
      </c>
      <c r="D13" s="13">
        <v>78.0</v>
      </c>
      <c r="E13" s="14"/>
      <c r="F13" s="14"/>
      <c r="G13" s="14"/>
      <c r="H13" s="14"/>
      <c r="I13" s="13">
        <v>78.0</v>
      </c>
      <c r="J13" s="13">
        <v>1.27</v>
      </c>
      <c r="L13" s="31"/>
      <c r="S13" s="17"/>
    </row>
    <row r="14" ht="14.25" customHeight="1">
      <c r="A14" s="18"/>
      <c r="B14" s="18"/>
      <c r="C14" s="24">
        <f>SUM(B13*C13/100)</f>
        <v>220</v>
      </c>
      <c r="D14" s="24">
        <f>SUM(B13*D13/100)</f>
        <v>780</v>
      </c>
      <c r="E14" s="24">
        <f>SUM(B13*E13/100)</f>
        <v>0</v>
      </c>
      <c r="F14" s="24">
        <f>SUM(B13*F13/100)</f>
        <v>0</v>
      </c>
      <c r="G14" s="24">
        <f>SUM(B13*G13/100)</f>
        <v>0</v>
      </c>
      <c r="H14" s="24">
        <f>SUM(B13*H13/100)</f>
        <v>0</v>
      </c>
      <c r="I14" s="24">
        <f>SUM(B13*I13/100)</f>
        <v>780</v>
      </c>
      <c r="J14" s="24">
        <f>SUM(I14*J13)</f>
        <v>990.6</v>
      </c>
      <c r="L14" s="32"/>
      <c r="M14" s="33"/>
      <c r="N14" s="33"/>
      <c r="O14" s="33"/>
      <c r="P14" s="33"/>
      <c r="Q14" s="33"/>
      <c r="R14" s="34"/>
      <c r="S14" s="35"/>
    </row>
    <row r="15" ht="15.75" customHeight="1">
      <c r="A15" s="30" t="s">
        <v>22</v>
      </c>
      <c r="B15" s="12">
        <v>400.0</v>
      </c>
      <c r="C15" s="14"/>
      <c r="D15" s="13">
        <v>100.0</v>
      </c>
      <c r="E15" s="13">
        <v>100.0</v>
      </c>
      <c r="F15" s="14"/>
      <c r="G15" s="14"/>
      <c r="H15" s="14"/>
      <c r="I15" s="14"/>
      <c r="J15" s="14"/>
    </row>
    <row r="16" ht="14.25" customHeight="1">
      <c r="A16" s="18"/>
      <c r="B16" s="18"/>
      <c r="C16" s="19">
        <f>SUM(B15*C15/100)</f>
        <v>0</v>
      </c>
      <c r="D16" s="19">
        <f>SUM(B15*D15/100)</f>
        <v>400</v>
      </c>
      <c r="E16" s="19">
        <f>SUM(B15*E15/100)</f>
        <v>400</v>
      </c>
      <c r="F16" s="19">
        <f>SUM(B15*F15/100)</f>
        <v>0</v>
      </c>
      <c r="G16" s="19">
        <f>SUM(B15*G15/100)</f>
        <v>0</v>
      </c>
      <c r="H16" s="19">
        <f>SUM(B15*H15/100)</f>
        <v>0</v>
      </c>
      <c r="I16" s="19">
        <f>SUM(B15*I15/100)</f>
        <v>0</v>
      </c>
      <c r="J16" s="19">
        <f>SUM(I16*J15)</f>
        <v>0</v>
      </c>
    </row>
    <row r="17" ht="14.25" customHeight="1">
      <c r="A17" s="22" t="s">
        <v>23</v>
      </c>
      <c r="B17" s="23">
        <v>900.0</v>
      </c>
      <c r="C17" s="14"/>
      <c r="D17" s="13">
        <v>100.0</v>
      </c>
      <c r="E17" s="13">
        <v>5.0</v>
      </c>
      <c r="F17" s="13">
        <v>33.0</v>
      </c>
      <c r="G17" s="13">
        <v>6.0</v>
      </c>
      <c r="H17" s="13">
        <v>39.0</v>
      </c>
      <c r="I17" s="13">
        <v>47.0</v>
      </c>
      <c r="J17" s="13">
        <v>0.42</v>
      </c>
      <c r="L17" s="36"/>
      <c r="M17" s="36"/>
      <c r="N17" s="36"/>
      <c r="O17" s="36"/>
      <c r="P17" s="36"/>
      <c r="Q17" s="36"/>
      <c r="R17" s="36"/>
      <c r="S17" s="36"/>
      <c r="T17" s="36"/>
    </row>
    <row r="18" ht="14.25" customHeight="1">
      <c r="A18" s="18"/>
      <c r="B18" s="18"/>
      <c r="C18" s="24">
        <f>SUM(B17*C17/100)</f>
        <v>0</v>
      </c>
      <c r="D18" s="24">
        <f>SUM(B17*D17/100)</f>
        <v>900</v>
      </c>
      <c r="E18" s="24">
        <f>SUM(B17*E17/100)</f>
        <v>45</v>
      </c>
      <c r="F18" s="24">
        <f>SUM(B17*F17/100)</f>
        <v>297</v>
      </c>
      <c r="G18" s="24">
        <f>SUM(B17*G17/100)</f>
        <v>54</v>
      </c>
      <c r="H18" s="24">
        <f>SUM(B17*H17/100)</f>
        <v>351</v>
      </c>
      <c r="I18" s="24">
        <f>SUM(B17*I17/100)</f>
        <v>423</v>
      </c>
      <c r="J18" s="24">
        <f>SUM(I18*J17)</f>
        <v>177.66</v>
      </c>
      <c r="L18" s="37"/>
      <c r="M18" s="37"/>
      <c r="N18" s="36"/>
      <c r="O18" s="37"/>
      <c r="P18" s="37"/>
      <c r="Q18" s="37"/>
      <c r="R18" s="37"/>
      <c r="S18" s="37"/>
      <c r="T18" s="37"/>
    </row>
    <row r="19" ht="18.75" customHeight="1">
      <c r="A19" s="30" t="s">
        <v>24</v>
      </c>
      <c r="B19" s="12">
        <v>1000.0</v>
      </c>
      <c r="C19" s="14"/>
      <c r="D19" s="14"/>
      <c r="E19" s="14"/>
      <c r="F19" s="13">
        <v>100.0</v>
      </c>
      <c r="G19" s="14"/>
      <c r="H19" s="13">
        <v>100.0</v>
      </c>
      <c r="I19" s="14"/>
      <c r="J19" s="14"/>
      <c r="L19" s="36"/>
      <c r="M19" s="36"/>
      <c r="N19" s="36"/>
      <c r="O19" s="36"/>
      <c r="P19" s="36"/>
      <c r="Q19" s="36"/>
      <c r="R19" s="36"/>
      <c r="S19" s="36"/>
      <c r="T19" s="36"/>
    </row>
    <row r="20" ht="34.5" customHeight="1">
      <c r="A20" s="18"/>
      <c r="B20" s="18"/>
      <c r="C20" s="19">
        <f>SUM(B19*C19/100)</f>
        <v>0</v>
      </c>
      <c r="D20" s="19">
        <f>SUM(B19*D19/100)</f>
        <v>0</v>
      </c>
      <c r="E20" s="19">
        <f>SUM(B19*E19/100)</f>
        <v>0</v>
      </c>
      <c r="F20" s="19">
        <f>SUM(B19*F19/100)</f>
        <v>1000</v>
      </c>
      <c r="G20" s="19">
        <f>SUM(B19*G19/100)</f>
        <v>0</v>
      </c>
      <c r="H20" s="19">
        <f>SUM(B19*H19/100)</f>
        <v>1000</v>
      </c>
      <c r="I20" s="19">
        <f>SUM(B19*I19/100)</f>
        <v>0</v>
      </c>
      <c r="J20" s="19">
        <f>SUM(I20*J19)</f>
        <v>0</v>
      </c>
      <c r="L20" s="36"/>
      <c r="M20" s="36"/>
      <c r="N20" s="36"/>
      <c r="O20" s="36"/>
      <c r="P20" s="36"/>
      <c r="Q20" s="36"/>
      <c r="R20" s="36"/>
      <c r="S20" s="36"/>
      <c r="T20" s="36"/>
    </row>
    <row r="21" ht="34.5" customHeight="1">
      <c r="A21" s="38" t="s">
        <v>25</v>
      </c>
      <c r="B21" s="39">
        <f>SUM(B3:B20)</f>
        <v>9700</v>
      </c>
      <c r="C21" s="40">
        <f t="shared" ref="C21:J21" si="1">SUM(C4+C6+C8+C10+C12+C14+C16+C18+C20)</f>
        <v>981</v>
      </c>
      <c r="D21" s="40">
        <f t="shared" si="1"/>
        <v>7309</v>
      </c>
      <c r="E21" s="40">
        <f t="shared" si="1"/>
        <v>2335</v>
      </c>
      <c r="F21" s="40">
        <f t="shared" si="1"/>
        <v>1882</v>
      </c>
      <c r="G21" s="40">
        <f t="shared" si="1"/>
        <v>546</v>
      </c>
      <c r="H21" s="40">
        <f t="shared" si="1"/>
        <v>2428</v>
      </c>
      <c r="I21" s="40">
        <f t="shared" si="1"/>
        <v>2874</v>
      </c>
      <c r="J21" s="40">
        <f t="shared" si="1"/>
        <v>2715.47</v>
      </c>
      <c r="L21" s="36"/>
      <c r="M21" s="36"/>
      <c r="N21" s="41"/>
      <c r="O21" s="41"/>
      <c r="P21" s="41"/>
      <c r="Q21" s="41"/>
      <c r="R21" s="41"/>
      <c r="S21" s="36"/>
      <c r="T21" s="36"/>
    </row>
    <row r="22" ht="30.75" customHeight="1">
      <c r="A22" s="42" t="s">
        <v>26</v>
      </c>
      <c r="B22" s="43">
        <v>100.0</v>
      </c>
      <c r="C22" s="44">
        <f>SUM(B22*C21/B21)</f>
        <v>10.11340206</v>
      </c>
      <c r="D22" s="44">
        <f>SUM(B22*D21/B21)</f>
        <v>75.35051546</v>
      </c>
      <c r="E22" s="44">
        <f>SUM(B22*E21/B21)</f>
        <v>24.07216495</v>
      </c>
      <c r="F22" s="44">
        <f>SUM(B22*F21/B21)</f>
        <v>19.40206186</v>
      </c>
      <c r="G22" s="44">
        <f>SUM(B22*G21/B21)</f>
        <v>5.628865979</v>
      </c>
      <c r="H22" s="44">
        <f>SUM(B22*H21/B21)</f>
        <v>25.03092784</v>
      </c>
      <c r="I22" s="44">
        <f>SUM(B22*I21/B21)</f>
        <v>29.62886598</v>
      </c>
      <c r="J22" s="44">
        <f>SUM(B22*J21/B21)</f>
        <v>27.99453608</v>
      </c>
    </row>
    <row r="23" ht="32.25" customHeight="1">
      <c r="A23" s="45" t="s">
        <v>27</v>
      </c>
      <c r="B23" s="46"/>
      <c r="C23" s="47" t="s">
        <v>28</v>
      </c>
      <c r="D23" s="47" t="s">
        <v>29</v>
      </c>
      <c r="E23" s="48" t="s">
        <v>30</v>
      </c>
      <c r="F23" s="47" t="s">
        <v>31</v>
      </c>
      <c r="G23" s="49"/>
      <c r="H23" s="47" t="s">
        <v>32</v>
      </c>
      <c r="I23" s="47" t="s">
        <v>33</v>
      </c>
      <c r="J23" s="47" t="s">
        <v>34</v>
      </c>
    </row>
    <row r="24" ht="34.5" customHeight="1">
      <c r="A24" s="50" t="s">
        <v>35</v>
      </c>
      <c r="C24" s="51" t="s">
        <v>36</v>
      </c>
      <c r="D24" s="50" t="s">
        <v>37</v>
      </c>
      <c r="E24" s="50" t="s">
        <v>38</v>
      </c>
      <c r="G24" s="50" t="s">
        <v>39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L8:Q8"/>
    <mergeCell ref="L10:Q10"/>
    <mergeCell ref="L12:Q14"/>
    <mergeCell ref="A1:J1"/>
    <mergeCell ref="L2:Q2"/>
    <mergeCell ref="A3:A4"/>
    <mergeCell ref="B3:B4"/>
    <mergeCell ref="L4:Q4"/>
    <mergeCell ref="B5:B6"/>
    <mergeCell ref="L6:Q6"/>
    <mergeCell ref="A5:A6"/>
    <mergeCell ref="A7:A8"/>
    <mergeCell ref="B7:B8"/>
    <mergeCell ref="A9:A10"/>
    <mergeCell ref="B9:B10"/>
    <mergeCell ref="A11:A12"/>
    <mergeCell ref="B11:B12"/>
    <mergeCell ref="B19:B20"/>
    <mergeCell ref="A23:B23"/>
    <mergeCell ref="A13:A14"/>
    <mergeCell ref="B13:B14"/>
    <mergeCell ref="A15:A16"/>
    <mergeCell ref="B15:B16"/>
    <mergeCell ref="A17:A18"/>
    <mergeCell ref="B17:B18"/>
    <mergeCell ref="A19:A20"/>
  </mergeCells>
  <conditionalFormatting sqref="C22">
    <cfRule type="colorScale" priority="1">
      <colorScale>
        <cfvo type="min"/>
        <cfvo type="formula" val="25"/>
        <cfvo type="max"/>
        <color rgb="FF00B050"/>
        <color rgb="FF00B050"/>
        <color rgb="FFFF0000"/>
      </colorScale>
    </cfRule>
  </conditionalFormatting>
  <conditionalFormatting sqref="C4:J4 C6:J6 C8:J8 C10:J10 C12:J12 C14:J14 C16:J16 C18:J18 C20:J20">
    <cfRule type="cellIs" dxfId="0" priority="2" operator="equal">
      <formula>0</formula>
    </cfRule>
  </conditionalFormatting>
  <conditionalFormatting sqref="D22">
    <cfRule type="colorScale" priority="3">
      <colorScale>
        <cfvo type="min"/>
        <cfvo type="formula" val="75"/>
        <cfvo type="max"/>
        <color rgb="FFFF0000"/>
        <color rgb="FF00B050"/>
        <color rgb="FF00B050"/>
      </colorScale>
    </cfRule>
  </conditionalFormatting>
  <conditionalFormatting sqref="F22">
    <cfRule type="colorScale" priority="4">
      <colorScale>
        <cfvo type="min"/>
        <cfvo type="formula" val="18"/>
        <cfvo type="max"/>
        <color rgb="FFFF0000"/>
        <color rgb="FF00B050"/>
        <color rgb="FF00B050"/>
      </colorScale>
    </cfRule>
  </conditionalFormatting>
  <conditionalFormatting sqref="F23">
    <cfRule type="colorScale" priority="5">
      <colorScale>
        <cfvo type="formula" val="18"/>
        <cfvo type="formula" val="25"/>
        <color rgb="FF00B050"/>
        <color rgb="FFFFEF9C"/>
      </colorScale>
    </cfRule>
  </conditionalFormatting>
  <conditionalFormatting sqref="H22">
    <cfRule type="cellIs" dxfId="1" priority="6" operator="greaterThan">
      <formula>40</formula>
    </cfRule>
  </conditionalFormatting>
  <conditionalFormatting sqref="H22">
    <cfRule type="cellIs" dxfId="2" priority="7" operator="between">
      <formula>25</formula>
      <formula>40</formula>
    </cfRule>
  </conditionalFormatting>
  <conditionalFormatting sqref="H22:J22">
    <cfRule type="cellIs" dxfId="1" priority="8" operator="lessThan">
      <formula>25</formula>
    </cfRule>
  </conditionalFormatting>
  <conditionalFormatting sqref="I22:J22">
    <cfRule type="cellIs" dxfId="1" priority="9" operator="greaterThan">
      <formula>35</formula>
    </cfRule>
  </conditionalFormatting>
  <conditionalFormatting sqref="I22:J22">
    <cfRule type="cellIs" dxfId="2" priority="10" operator="between">
      <formula>25</formula>
      <formula>35</formula>
    </cfRule>
  </conditionalFormatting>
  <printOptions/>
  <pageMargins bottom="0.75" footer="0.0" header="0.0" left="0.7" right="0.7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2019-05-27T20:34:11Z</dcterms:created>
  <dc:creator>Mérour Gabriel</dc:creator>
</cp:coreProperties>
</file>